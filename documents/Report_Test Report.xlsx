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uAnCaNhan\enterprise_system_management\documents\"/>
    </mc:Choice>
  </mc:AlternateContent>
  <xr:revisionPtr revIDLastSave="0" documentId="13_ncr:1_{E0D79F59-7106-4C9F-A87F-C85385C9037C}" xr6:coauthVersionLast="47" xr6:coauthVersionMax="47" xr10:uidLastSave="{00000000-0000-0000-0000-000000000000}"/>
  <bookViews>
    <workbookView xWindow="-108" yWindow="-108" windowWidth="23256" windowHeight="12456" tabRatio="821" activeTab="3" xr2:uid="{00000000-000D-0000-FFFF-FFFF00000000}"/>
  </bookViews>
  <sheets>
    <sheet name="Cover" sheetId="9" r:id="rId1"/>
    <sheet name="Test Cases" sheetId="2" r:id="rId2"/>
    <sheet name="Test Statistics" sheetId="5" r:id="rId3"/>
    <sheet name="Feature 1" sheetId="3" r:id="rId4"/>
    <sheet name="Feature 2" sheetId="8" r:id="rId5"/>
  </sheets>
  <definedNames>
    <definedName name="_xlnm._FilterDatabase" localSheetId="3" hidden="1">'Feature 1'!$A$10:$O$18</definedName>
    <definedName name="_xlnm._FilterDatabase" localSheetId="4" hidden="1">'Feature 2'!$A$10:$O$17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8" l="1"/>
  <c r="H12" i="5" s="1"/>
  <c r="B6" i="8"/>
  <c r="D12" i="5" s="1"/>
  <c r="C6" i="8"/>
  <c r="D6" i="8"/>
  <c r="E6" i="8"/>
  <c r="B7" i="8"/>
  <c r="C7" i="8"/>
  <c r="D7" i="8"/>
  <c r="E7" i="8"/>
  <c r="B8" i="8"/>
  <c r="C8" i="8"/>
  <c r="D8" i="8"/>
  <c r="E8" i="8"/>
  <c r="B6" i="9"/>
  <c r="C12" i="5"/>
  <c r="G12" i="5"/>
  <c r="F12" i="5"/>
  <c r="E12" i="5"/>
  <c r="C7" i="3"/>
  <c r="D7" i="3"/>
  <c r="E7" i="3"/>
  <c r="C8" i="3"/>
  <c r="D8" i="3"/>
  <c r="E8" i="3"/>
  <c r="B8" i="3"/>
  <c r="B7" i="3"/>
  <c r="C6" i="3"/>
  <c r="E11" i="5" s="1"/>
  <c r="D6" i="3"/>
  <c r="F11" i="5" s="1"/>
  <c r="E6" i="3"/>
  <c r="G11" i="5" s="1"/>
  <c r="B6" i="3"/>
  <c r="D11" i="5" s="1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<sst xmlns="http://schemas.openxmlformats.org/spreadsheetml/2006/main" count="193" uniqueCount="101">
  <si>
    <t>&lt;Project Name&gt;</t>
  </si>
  <si>
    <t>&lt;Project Code&gt;</t>
  </si>
  <si>
    <t>Record of change</t>
  </si>
  <si>
    <t>*A,D,M</t>
  </si>
  <si>
    <t>TEST CASE LIST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</si>
  <si>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</si>
  <si>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</si>
  <si>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</si>
  <si>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</si>
  <si>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</si>
  <si>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</si>
  <si>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</si>
  <si>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</si>
  <si>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</si>
  <si>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</si>
  <si>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</si>
  <si>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</si>
  <si>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</si>
  <si>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</si>
  <si>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</si>
  <si>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</si>
  <si>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</si>
  <si>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</si>
  <si>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</si>
  <si>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</si>
  <si>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</si>
  <si>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&lt;List modules included in this release&gt; ex: Release 1 includes 2 modules: Module1 and Module2</t>
  </si>
  <si>
    <t>Module code</t>
  </si>
  <si>
    <t>%</t>
  </si>
  <si>
    <t>Expected Results</t>
  </si>
  <si>
    <t>Test Case Procedure</t>
  </si>
  <si>
    <t>Feature1</t>
  </si>
  <si>
    <t>Feature2</t>
  </si>
  <si>
    <t>Feature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</si>
  <si>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</si>
  <si>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</si>
  <si>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</si>
  <si>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</si>
  <si>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</si>
  <si>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</si>
  <si>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</si>
  <si>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</si>
  <si>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</si>
  <si>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</si>
  <si>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</si>
  <si>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</si>
  <si>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</si>
  <si>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</si>
  <si>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</si>
  <si>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</si>
  <si>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</si>
  <si>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TÀI LIỆU BÁO CÁO THỬ NGHIỆM</t>
  </si>
  <si>
    <t>Tên dự án</t>
  </si>
  <si>
    <t>Mã dự án</t>
  </si>
  <si>
    <t>Mã tài liệu</t>
  </si>
  <si>
    <t>Người sáng tạo</t>
  </si>
  <si>
    <t>Ngày phát hành</t>
  </si>
  <si>
    <t>Phiên bản</t>
  </si>
  <si>
    <t>&lt;Ngày tạo báo cáo thử nghiệm này&gt;</t>
  </si>
  <si>
    <t>Ngày có hiệu lực</t>
  </si>
  <si>
    <t>Mục thay đổi</t>
  </si>
  <si>
    <t>Mô tả thay đổi</t>
  </si>
  <si>
    <t>Tài liệu tham khảo</t>
  </si>
  <si>
    <t>&lt;Danh sách các tài liệu được tham khảo trong phiên bản này.&gt;</t>
  </si>
  <si>
    <t>&lt;Ngày khi những thay đổi này có hiệu lực&gt;</t>
  </si>
  <si>
    <t>Mô tả thiết lập môi trường thử nghiệm</t>
  </si>
  <si>
    <t>&lt;Danh sách môi trường yêu cầu trong hệ thống
1. Máy chủ
2. Database
3. Trình duyệt web
...
&gt;</t>
  </si>
  <si>
    <t>STT</t>
  </si>
  <si>
    <t>Tên chức năng</t>
  </si>
  <si>
    <t>Tên trang tính</t>
  </si>
  <si>
    <t>Mô tả</t>
  </si>
  <si>
    <t>Điều kiện tiên quyết</t>
  </si>
  <si>
    <t>Thống kê Test</t>
  </si>
  <si>
    <t>Ghi chú</t>
  </si>
  <si>
    <t>Người review/Người phê duyệt</t>
  </si>
  <si>
    <t>Người tạo</t>
  </si>
  <si>
    <t>Phạm vi kiểm tra</t>
  </si>
  <si>
    <t>Kiểm tra phạm vi bảo hiểm thành công</t>
  </si>
  <si>
    <t>Số lượng test cases</t>
  </si>
  <si>
    <t>Đạt</t>
  </si>
  <si>
    <t>Lỗi</t>
  </si>
  <si>
    <t>Chờ xử lý</t>
  </si>
  <si>
    <t xml:space="preserve">Tổng </t>
  </si>
  <si>
    <t>Tính năng</t>
  </si>
  <si>
    <t>Yêu cầu kiểm tra</t>
  </si>
  <si>
    <t>Số lượng test case</t>
  </si>
  <si>
    <t>Vòng test</t>
  </si>
  <si>
    <t>Vòng 1</t>
  </si>
  <si>
    <t>Vòng 3</t>
  </si>
  <si>
    <t>Vòng 2</t>
  </si>
  <si>
    <t>&lt;Mô tả ngắn gọn về các yêu cầu được kiểm tra trong tờ này&gt;</t>
  </si>
  <si>
    <t>&lt;Tên tính năng1&gt;</t>
  </si>
  <si>
    <t>Mô tả Test Case</t>
  </si>
  <si>
    <t>Thao tác Test Case</t>
  </si>
  <si>
    <t>Kết quả mong đợi</t>
  </si>
  <si>
    <t xml:space="preserve">Ngày Test </t>
  </si>
  <si>
    <t>Ngày Test</t>
  </si>
  <si>
    <r>
      <t xml:space="preserve">&lt;Mô tả ngắn gọn về trường hợp này: những gì được thử nghiệm?&gt;
</t>
    </r>
    <r>
      <rPr>
        <sz val="10"/>
        <rFont val="Tahoma"/>
        <family val="2"/>
      </rPr>
      <t>Ex: Test viewing "Company" form.</t>
    </r>
  </si>
  <si>
    <r>
      <t>&lt;Mô tả các bước để thực hiện trường hợp này&gt;
VD</t>
    </r>
    <r>
      <rPr>
        <sz val="10"/>
        <rFont val="Tahoma"/>
        <family val="2"/>
      </rPr>
      <t>:
1. Đăng nhập hệ thống với vai trò Manager
2. Click tab "Company" ở menu bên trái.</t>
    </r>
  </si>
  <si>
    <t>&lt;Mô tả kết quả đáp ứng yêu cầu của khách hàng&gt;
Ví dụ:
Biểu mẫu xem "Company" được hiển thị với các thông tin sau:
- Tên công ty
- Địa chỉ công ty
- Điện thoại
- Số fax</t>
  </si>
  <si>
    <t xml:space="preserve">&lt;Liệt kê tất cả các trường hợp thử nghiệm hoặc điều kiện phải được thực hiện trước khi thực hiện trường hợp này&gt;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</si>
</sst>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0" fontId="10" fillId="2" borderId="27" xfId="3" applyFont="1" applyFill="1" applyBorder="1" applyAlignment="1">
      <alignment horizontal="left" vertical="top" wrapText="1"/>
    </xf>
    <xf numFmtId="0" fontId="10" fillId="2" borderId="30" xfId="3" applyFont="1" applyFill="1" applyBorder="1" applyAlignment="1">
      <alignment horizontal="left" vertical="top" wrapText="1"/>
    </xf>
    <xf numFmtId="0" fontId="18" fillId="2" borderId="30" xfId="3" applyFont="1" applyFill="1" applyBorder="1" applyAlignment="1">
      <alignment horizontal="left" vertical="top" wrapText="1"/>
    </xf>
    <xf numFmtId="0" fontId="18" fillId="2" borderId="26" xfId="3" applyFont="1" applyFill="1" applyBorder="1" applyAlignment="1">
      <alignment horizontal="left" vertical="top" wrapText="1"/>
    </xf>
    <xf numFmtId="0" fontId="18" fillId="2" borderId="31" xfId="3" applyFont="1" applyFill="1" applyBorder="1" applyAlignment="1">
      <alignment horizontal="left" vertical="top" wrapText="1"/>
    </xf>
    <xf numFmtId="0" fontId="18" fillId="2" borderId="32" xfId="3" applyFont="1" applyFill="1" applyBorder="1" applyAlignment="1">
      <alignment horizontal="left" vertical="top" wrapText="1"/>
    </xf>
    <xf numFmtId="0" fontId="2" fillId="2" borderId="33" xfId="3" applyFont="1" applyFill="1" applyBorder="1" applyAlignment="1">
      <alignment horizontal="left" vertical="top" wrapText="1"/>
    </xf>
    <xf numFmtId="0" fontId="2" fillId="2" borderId="34" xfId="3" applyFont="1" applyFill="1" applyBorder="1" applyAlignment="1">
      <alignment horizontal="left" vertical="top" wrapText="1"/>
    </xf>
  </cellXfs>
  <cellStyles count="6">
    <cellStyle name="Bình thường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Siêu kết nối" xfId="1" builtinId="8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tabSelected="1" workbookViewId="0">
      <selection activeCell="I6" sqref="I6"/>
    </sheetView>
  </sheetViews>
  <sheetFormatPr defaultColWidth="9" defaultRowHeight="13.2"/>
  <cols>
    <col min="1" max="1" width="28.109375" style="128" customWidth="1"/>
    <col min="2" max="2" width="10" style="101" customWidth="1"/>
    <col min="3" max="3" width="14.33203125" style="101" customWidth="1"/>
    <col min="4" max="4" width="8" style="101" customWidth="1"/>
    <col min="5" max="5" width="38" style="101" customWidth="1"/>
    <col min="6" max="6" width="48.109375" style="101" customWidth="1"/>
    <col min="7" max="256" width="9" style="101"/>
    <col min="257" max="257" width="28.109375" style="101" customWidth="1"/>
    <col min="258" max="258" width="10" style="101" customWidth="1"/>
    <col min="259" max="259" width="14.33203125" style="101" customWidth="1"/>
    <col min="260" max="260" width="8" style="101" customWidth="1"/>
    <col min="261" max="261" width="38" style="101" customWidth="1"/>
    <col min="262" max="262" width="48.109375" style="101" customWidth="1"/>
    <col min="263" max="512" width="9" style="101"/>
    <col min="513" max="513" width="28.109375" style="101" customWidth="1"/>
    <col min="514" max="514" width="10" style="101" customWidth="1"/>
    <col min="515" max="515" width="14.33203125" style="101" customWidth="1"/>
    <col min="516" max="516" width="8" style="101" customWidth="1"/>
    <col min="517" max="517" width="38" style="101" customWidth="1"/>
    <col min="518" max="518" width="48.109375" style="101" customWidth="1"/>
    <col min="519" max="768" width="9" style="101"/>
    <col min="769" max="769" width="28.109375" style="101" customWidth="1"/>
    <col min="770" max="770" width="10" style="101" customWidth="1"/>
    <col min="771" max="771" width="14.33203125" style="101" customWidth="1"/>
    <col min="772" max="772" width="8" style="101" customWidth="1"/>
    <col min="773" max="773" width="38" style="101" customWidth="1"/>
    <col min="774" max="774" width="48.109375" style="101" customWidth="1"/>
    <col min="775" max="1024" width="9" style="101"/>
    <col min="1025" max="1025" width="28.109375" style="101" customWidth="1"/>
    <col min="1026" max="1026" width="10" style="101" customWidth="1"/>
    <col min="1027" max="1027" width="14.33203125" style="101" customWidth="1"/>
    <col min="1028" max="1028" width="8" style="101" customWidth="1"/>
    <col min="1029" max="1029" width="38" style="101" customWidth="1"/>
    <col min="1030" max="1030" width="48.109375" style="101" customWidth="1"/>
    <col min="1031" max="1280" width="9" style="101"/>
    <col min="1281" max="1281" width="28.109375" style="101" customWidth="1"/>
    <col min="1282" max="1282" width="10" style="101" customWidth="1"/>
    <col min="1283" max="1283" width="14.33203125" style="101" customWidth="1"/>
    <col min="1284" max="1284" width="8" style="101" customWidth="1"/>
    <col min="1285" max="1285" width="38" style="101" customWidth="1"/>
    <col min="1286" max="1286" width="48.109375" style="101" customWidth="1"/>
    <col min="1287" max="1536" width="9" style="101"/>
    <col min="1537" max="1537" width="28.109375" style="101" customWidth="1"/>
    <col min="1538" max="1538" width="10" style="101" customWidth="1"/>
    <col min="1539" max="1539" width="14.33203125" style="101" customWidth="1"/>
    <col min="1540" max="1540" width="8" style="101" customWidth="1"/>
    <col min="1541" max="1541" width="38" style="101" customWidth="1"/>
    <col min="1542" max="1542" width="48.109375" style="101" customWidth="1"/>
    <col min="1543" max="1792" width="9" style="101"/>
    <col min="1793" max="1793" width="28.109375" style="101" customWidth="1"/>
    <col min="1794" max="1794" width="10" style="101" customWidth="1"/>
    <col min="1795" max="1795" width="14.33203125" style="101" customWidth="1"/>
    <col min="1796" max="1796" width="8" style="101" customWidth="1"/>
    <col min="1797" max="1797" width="38" style="101" customWidth="1"/>
    <col min="1798" max="1798" width="48.109375" style="101" customWidth="1"/>
    <col min="1799" max="2048" width="9" style="101"/>
    <col min="2049" max="2049" width="28.109375" style="101" customWidth="1"/>
    <col min="2050" max="2050" width="10" style="101" customWidth="1"/>
    <col min="2051" max="2051" width="14.33203125" style="101" customWidth="1"/>
    <col min="2052" max="2052" width="8" style="101" customWidth="1"/>
    <col min="2053" max="2053" width="38" style="101" customWidth="1"/>
    <col min="2054" max="2054" width="48.109375" style="101" customWidth="1"/>
    <col min="2055" max="2304" width="9" style="101"/>
    <col min="2305" max="2305" width="28.109375" style="101" customWidth="1"/>
    <col min="2306" max="2306" width="10" style="101" customWidth="1"/>
    <col min="2307" max="2307" width="14.33203125" style="101" customWidth="1"/>
    <col min="2308" max="2308" width="8" style="101" customWidth="1"/>
    <col min="2309" max="2309" width="38" style="101" customWidth="1"/>
    <col min="2310" max="2310" width="48.109375" style="101" customWidth="1"/>
    <col min="2311" max="2560" width="9" style="101"/>
    <col min="2561" max="2561" width="28.109375" style="101" customWidth="1"/>
    <col min="2562" max="2562" width="10" style="101" customWidth="1"/>
    <col min="2563" max="2563" width="14.33203125" style="101" customWidth="1"/>
    <col min="2564" max="2564" width="8" style="101" customWidth="1"/>
    <col min="2565" max="2565" width="38" style="101" customWidth="1"/>
    <col min="2566" max="2566" width="48.109375" style="101" customWidth="1"/>
    <col min="2567" max="2816" width="9" style="101"/>
    <col min="2817" max="2817" width="28.109375" style="101" customWidth="1"/>
    <col min="2818" max="2818" width="10" style="101" customWidth="1"/>
    <col min="2819" max="2819" width="14.33203125" style="101" customWidth="1"/>
    <col min="2820" max="2820" width="8" style="101" customWidth="1"/>
    <col min="2821" max="2821" width="38" style="101" customWidth="1"/>
    <col min="2822" max="2822" width="48.109375" style="101" customWidth="1"/>
    <col min="2823" max="3072" width="9" style="101"/>
    <col min="3073" max="3073" width="28.109375" style="101" customWidth="1"/>
    <col min="3074" max="3074" width="10" style="101" customWidth="1"/>
    <col min="3075" max="3075" width="14.33203125" style="101" customWidth="1"/>
    <col min="3076" max="3076" width="8" style="101" customWidth="1"/>
    <col min="3077" max="3077" width="38" style="101" customWidth="1"/>
    <col min="3078" max="3078" width="48.109375" style="101" customWidth="1"/>
    <col min="3079" max="3328" width="9" style="101"/>
    <col min="3329" max="3329" width="28.109375" style="101" customWidth="1"/>
    <col min="3330" max="3330" width="10" style="101" customWidth="1"/>
    <col min="3331" max="3331" width="14.33203125" style="101" customWidth="1"/>
    <col min="3332" max="3332" width="8" style="101" customWidth="1"/>
    <col min="3333" max="3333" width="38" style="101" customWidth="1"/>
    <col min="3334" max="3334" width="48.109375" style="101" customWidth="1"/>
    <col min="3335" max="3584" width="9" style="101"/>
    <col min="3585" max="3585" width="28.109375" style="101" customWidth="1"/>
    <col min="3586" max="3586" width="10" style="101" customWidth="1"/>
    <col min="3587" max="3587" width="14.33203125" style="101" customWidth="1"/>
    <col min="3588" max="3588" width="8" style="101" customWidth="1"/>
    <col min="3589" max="3589" width="38" style="101" customWidth="1"/>
    <col min="3590" max="3590" width="48.109375" style="101" customWidth="1"/>
    <col min="3591" max="3840" width="9" style="101"/>
    <col min="3841" max="3841" width="28.109375" style="101" customWidth="1"/>
    <col min="3842" max="3842" width="10" style="101" customWidth="1"/>
    <col min="3843" max="3843" width="14.33203125" style="101" customWidth="1"/>
    <col min="3844" max="3844" width="8" style="101" customWidth="1"/>
    <col min="3845" max="3845" width="38" style="101" customWidth="1"/>
    <col min="3846" max="3846" width="48.109375" style="101" customWidth="1"/>
    <col min="3847" max="4096" width="9" style="101"/>
    <col min="4097" max="4097" width="28.109375" style="101" customWidth="1"/>
    <col min="4098" max="4098" width="10" style="101" customWidth="1"/>
    <col min="4099" max="4099" width="14.33203125" style="101" customWidth="1"/>
    <col min="4100" max="4100" width="8" style="101" customWidth="1"/>
    <col min="4101" max="4101" width="38" style="101" customWidth="1"/>
    <col min="4102" max="4102" width="48.109375" style="101" customWidth="1"/>
    <col min="4103" max="4352" width="9" style="101"/>
    <col min="4353" max="4353" width="28.109375" style="101" customWidth="1"/>
    <col min="4354" max="4354" width="10" style="101" customWidth="1"/>
    <col min="4355" max="4355" width="14.33203125" style="101" customWidth="1"/>
    <col min="4356" max="4356" width="8" style="101" customWidth="1"/>
    <col min="4357" max="4357" width="38" style="101" customWidth="1"/>
    <col min="4358" max="4358" width="48.109375" style="101" customWidth="1"/>
    <col min="4359" max="4608" width="9" style="101"/>
    <col min="4609" max="4609" width="28.109375" style="101" customWidth="1"/>
    <col min="4610" max="4610" width="10" style="101" customWidth="1"/>
    <col min="4611" max="4611" width="14.33203125" style="101" customWidth="1"/>
    <col min="4612" max="4612" width="8" style="101" customWidth="1"/>
    <col min="4613" max="4613" width="38" style="101" customWidth="1"/>
    <col min="4614" max="4614" width="48.109375" style="101" customWidth="1"/>
    <col min="4615" max="4864" width="9" style="101"/>
    <col min="4865" max="4865" width="28.109375" style="101" customWidth="1"/>
    <col min="4866" max="4866" width="10" style="101" customWidth="1"/>
    <col min="4867" max="4867" width="14.33203125" style="101" customWidth="1"/>
    <col min="4868" max="4868" width="8" style="101" customWidth="1"/>
    <col min="4869" max="4869" width="38" style="101" customWidth="1"/>
    <col min="4870" max="4870" width="48.109375" style="101" customWidth="1"/>
    <col min="4871" max="5120" width="9" style="101"/>
    <col min="5121" max="5121" width="28.109375" style="101" customWidth="1"/>
    <col min="5122" max="5122" width="10" style="101" customWidth="1"/>
    <col min="5123" max="5123" width="14.33203125" style="101" customWidth="1"/>
    <col min="5124" max="5124" width="8" style="101" customWidth="1"/>
    <col min="5125" max="5125" width="38" style="101" customWidth="1"/>
    <col min="5126" max="5126" width="48.109375" style="101" customWidth="1"/>
    <col min="5127" max="5376" width="9" style="101"/>
    <col min="5377" max="5377" width="28.109375" style="101" customWidth="1"/>
    <col min="5378" max="5378" width="10" style="101" customWidth="1"/>
    <col min="5379" max="5379" width="14.33203125" style="101" customWidth="1"/>
    <col min="5380" max="5380" width="8" style="101" customWidth="1"/>
    <col min="5381" max="5381" width="38" style="101" customWidth="1"/>
    <col min="5382" max="5382" width="48.109375" style="101" customWidth="1"/>
    <col min="5383" max="5632" width="9" style="101"/>
    <col min="5633" max="5633" width="28.109375" style="101" customWidth="1"/>
    <col min="5634" max="5634" width="10" style="101" customWidth="1"/>
    <col min="5635" max="5635" width="14.33203125" style="101" customWidth="1"/>
    <col min="5636" max="5636" width="8" style="101" customWidth="1"/>
    <col min="5637" max="5637" width="38" style="101" customWidth="1"/>
    <col min="5638" max="5638" width="48.109375" style="101" customWidth="1"/>
    <col min="5639" max="5888" width="9" style="101"/>
    <col min="5889" max="5889" width="28.109375" style="101" customWidth="1"/>
    <col min="5890" max="5890" width="10" style="101" customWidth="1"/>
    <col min="5891" max="5891" width="14.33203125" style="101" customWidth="1"/>
    <col min="5892" max="5892" width="8" style="101" customWidth="1"/>
    <col min="5893" max="5893" width="38" style="101" customWidth="1"/>
    <col min="5894" max="5894" width="48.109375" style="101" customWidth="1"/>
    <col min="5895" max="6144" width="9" style="101"/>
    <col min="6145" max="6145" width="28.109375" style="101" customWidth="1"/>
    <col min="6146" max="6146" width="10" style="101" customWidth="1"/>
    <col min="6147" max="6147" width="14.33203125" style="101" customWidth="1"/>
    <col min="6148" max="6148" width="8" style="101" customWidth="1"/>
    <col min="6149" max="6149" width="38" style="101" customWidth="1"/>
    <col min="6150" max="6150" width="48.109375" style="101" customWidth="1"/>
    <col min="6151" max="6400" width="9" style="101"/>
    <col min="6401" max="6401" width="28.109375" style="101" customWidth="1"/>
    <col min="6402" max="6402" width="10" style="101" customWidth="1"/>
    <col min="6403" max="6403" width="14.33203125" style="101" customWidth="1"/>
    <col min="6404" max="6404" width="8" style="101" customWidth="1"/>
    <col min="6405" max="6405" width="38" style="101" customWidth="1"/>
    <col min="6406" max="6406" width="48.109375" style="101" customWidth="1"/>
    <col min="6407" max="6656" width="9" style="101"/>
    <col min="6657" max="6657" width="28.109375" style="101" customWidth="1"/>
    <col min="6658" max="6658" width="10" style="101" customWidth="1"/>
    <col min="6659" max="6659" width="14.33203125" style="101" customWidth="1"/>
    <col min="6660" max="6660" width="8" style="101" customWidth="1"/>
    <col min="6661" max="6661" width="38" style="101" customWidth="1"/>
    <col min="6662" max="6662" width="48.109375" style="101" customWidth="1"/>
    <col min="6663" max="6912" width="9" style="101"/>
    <col min="6913" max="6913" width="28.109375" style="101" customWidth="1"/>
    <col min="6914" max="6914" width="10" style="101" customWidth="1"/>
    <col min="6915" max="6915" width="14.33203125" style="101" customWidth="1"/>
    <col min="6916" max="6916" width="8" style="101" customWidth="1"/>
    <col min="6917" max="6917" width="38" style="101" customWidth="1"/>
    <col min="6918" max="6918" width="48.109375" style="101" customWidth="1"/>
    <col min="6919" max="7168" width="9" style="101"/>
    <col min="7169" max="7169" width="28.109375" style="101" customWidth="1"/>
    <col min="7170" max="7170" width="10" style="101" customWidth="1"/>
    <col min="7171" max="7171" width="14.33203125" style="101" customWidth="1"/>
    <col min="7172" max="7172" width="8" style="101" customWidth="1"/>
    <col min="7173" max="7173" width="38" style="101" customWidth="1"/>
    <col min="7174" max="7174" width="48.109375" style="101" customWidth="1"/>
    <col min="7175" max="7424" width="9" style="101"/>
    <col min="7425" max="7425" width="28.109375" style="101" customWidth="1"/>
    <col min="7426" max="7426" width="10" style="101" customWidth="1"/>
    <col min="7427" max="7427" width="14.33203125" style="101" customWidth="1"/>
    <col min="7428" max="7428" width="8" style="101" customWidth="1"/>
    <col min="7429" max="7429" width="38" style="101" customWidth="1"/>
    <col min="7430" max="7430" width="48.109375" style="101" customWidth="1"/>
    <col min="7431" max="7680" width="9" style="101"/>
    <col min="7681" max="7681" width="28.109375" style="101" customWidth="1"/>
    <col min="7682" max="7682" width="10" style="101" customWidth="1"/>
    <col min="7683" max="7683" width="14.33203125" style="101" customWidth="1"/>
    <col min="7684" max="7684" width="8" style="101" customWidth="1"/>
    <col min="7685" max="7685" width="38" style="101" customWidth="1"/>
    <col min="7686" max="7686" width="48.109375" style="101" customWidth="1"/>
    <col min="7687" max="7936" width="9" style="101"/>
    <col min="7937" max="7937" width="28.109375" style="101" customWidth="1"/>
    <col min="7938" max="7938" width="10" style="101" customWidth="1"/>
    <col min="7939" max="7939" width="14.33203125" style="101" customWidth="1"/>
    <col min="7940" max="7940" width="8" style="101" customWidth="1"/>
    <col min="7941" max="7941" width="38" style="101" customWidth="1"/>
    <col min="7942" max="7942" width="48.109375" style="101" customWidth="1"/>
    <col min="7943" max="8192" width="9" style="101"/>
    <col min="8193" max="8193" width="28.109375" style="101" customWidth="1"/>
    <col min="8194" max="8194" width="10" style="101" customWidth="1"/>
    <col min="8195" max="8195" width="14.33203125" style="101" customWidth="1"/>
    <col min="8196" max="8196" width="8" style="101" customWidth="1"/>
    <col min="8197" max="8197" width="38" style="101" customWidth="1"/>
    <col min="8198" max="8198" width="48.109375" style="101" customWidth="1"/>
    <col min="8199" max="8448" width="9" style="101"/>
    <col min="8449" max="8449" width="28.109375" style="101" customWidth="1"/>
    <col min="8450" max="8450" width="10" style="101" customWidth="1"/>
    <col min="8451" max="8451" width="14.33203125" style="101" customWidth="1"/>
    <col min="8452" max="8452" width="8" style="101" customWidth="1"/>
    <col min="8453" max="8453" width="38" style="101" customWidth="1"/>
    <col min="8454" max="8454" width="48.109375" style="101" customWidth="1"/>
    <col min="8455" max="8704" width="9" style="101"/>
    <col min="8705" max="8705" width="28.109375" style="101" customWidth="1"/>
    <col min="8706" max="8706" width="10" style="101" customWidth="1"/>
    <col min="8707" max="8707" width="14.33203125" style="101" customWidth="1"/>
    <col min="8708" max="8708" width="8" style="101" customWidth="1"/>
    <col min="8709" max="8709" width="38" style="101" customWidth="1"/>
    <col min="8710" max="8710" width="48.109375" style="101" customWidth="1"/>
    <col min="8711" max="8960" width="9" style="101"/>
    <col min="8961" max="8961" width="28.109375" style="101" customWidth="1"/>
    <col min="8962" max="8962" width="10" style="101" customWidth="1"/>
    <col min="8963" max="8963" width="14.33203125" style="101" customWidth="1"/>
    <col min="8964" max="8964" width="8" style="101" customWidth="1"/>
    <col min="8965" max="8965" width="38" style="101" customWidth="1"/>
    <col min="8966" max="8966" width="48.109375" style="101" customWidth="1"/>
    <col min="8967" max="9216" width="9" style="101"/>
    <col min="9217" max="9217" width="28.109375" style="101" customWidth="1"/>
    <col min="9218" max="9218" width="10" style="101" customWidth="1"/>
    <col min="9219" max="9219" width="14.33203125" style="101" customWidth="1"/>
    <col min="9220" max="9220" width="8" style="101" customWidth="1"/>
    <col min="9221" max="9221" width="38" style="101" customWidth="1"/>
    <col min="9222" max="9222" width="48.109375" style="101" customWidth="1"/>
    <col min="9223" max="9472" width="9" style="101"/>
    <col min="9473" max="9473" width="28.109375" style="101" customWidth="1"/>
    <col min="9474" max="9474" width="10" style="101" customWidth="1"/>
    <col min="9475" max="9475" width="14.33203125" style="101" customWidth="1"/>
    <col min="9476" max="9476" width="8" style="101" customWidth="1"/>
    <col min="9477" max="9477" width="38" style="101" customWidth="1"/>
    <col min="9478" max="9478" width="48.109375" style="101" customWidth="1"/>
    <col min="9479" max="9728" width="9" style="101"/>
    <col min="9729" max="9729" width="28.109375" style="101" customWidth="1"/>
    <col min="9730" max="9730" width="10" style="101" customWidth="1"/>
    <col min="9731" max="9731" width="14.33203125" style="101" customWidth="1"/>
    <col min="9732" max="9732" width="8" style="101" customWidth="1"/>
    <col min="9733" max="9733" width="38" style="101" customWidth="1"/>
    <col min="9734" max="9734" width="48.109375" style="101" customWidth="1"/>
    <col min="9735" max="9984" width="9" style="101"/>
    <col min="9985" max="9985" width="28.109375" style="101" customWidth="1"/>
    <col min="9986" max="9986" width="10" style="101" customWidth="1"/>
    <col min="9987" max="9987" width="14.33203125" style="101" customWidth="1"/>
    <col min="9988" max="9988" width="8" style="101" customWidth="1"/>
    <col min="9989" max="9989" width="38" style="101" customWidth="1"/>
    <col min="9990" max="9990" width="48.109375" style="101" customWidth="1"/>
    <col min="9991" max="10240" width="9" style="101"/>
    <col min="10241" max="10241" width="28.109375" style="101" customWidth="1"/>
    <col min="10242" max="10242" width="10" style="101" customWidth="1"/>
    <col min="10243" max="10243" width="14.33203125" style="101" customWidth="1"/>
    <col min="10244" max="10244" width="8" style="101" customWidth="1"/>
    <col min="10245" max="10245" width="38" style="101" customWidth="1"/>
    <col min="10246" max="10246" width="48.109375" style="101" customWidth="1"/>
    <col min="10247" max="10496" width="9" style="101"/>
    <col min="10497" max="10497" width="28.109375" style="101" customWidth="1"/>
    <col min="10498" max="10498" width="10" style="101" customWidth="1"/>
    <col min="10499" max="10499" width="14.33203125" style="101" customWidth="1"/>
    <col min="10500" max="10500" width="8" style="101" customWidth="1"/>
    <col min="10501" max="10501" width="38" style="101" customWidth="1"/>
    <col min="10502" max="10502" width="48.109375" style="101" customWidth="1"/>
    <col min="10503" max="10752" width="9" style="101"/>
    <col min="10753" max="10753" width="28.109375" style="101" customWidth="1"/>
    <col min="10754" max="10754" width="10" style="101" customWidth="1"/>
    <col min="10755" max="10755" width="14.33203125" style="101" customWidth="1"/>
    <col min="10756" max="10756" width="8" style="101" customWidth="1"/>
    <col min="10757" max="10757" width="38" style="101" customWidth="1"/>
    <col min="10758" max="10758" width="48.109375" style="101" customWidth="1"/>
    <col min="10759" max="11008" width="9" style="101"/>
    <col min="11009" max="11009" width="28.109375" style="101" customWidth="1"/>
    <col min="11010" max="11010" width="10" style="101" customWidth="1"/>
    <col min="11011" max="11011" width="14.33203125" style="101" customWidth="1"/>
    <col min="11012" max="11012" width="8" style="101" customWidth="1"/>
    <col min="11013" max="11013" width="38" style="101" customWidth="1"/>
    <col min="11014" max="11014" width="48.109375" style="101" customWidth="1"/>
    <col min="11015" max="11264" width="9" style="101"/>
    <col min="11265" max="11265" width="28.109375" style="101" customWidth="1"/>
    <col min="11266" max="11266" width="10" style="101" customWidth="1"/>
    <col min="11267" max="11267" width="14.33203125" style="101" customWidth="1"/>
    <col min="11268" max="11268" width="8" style="101" customWidth="1"/>
    <col min="11269" max="11269" width="38" style="101" customWidth="1"/>
    <col min="11270" max="11270" width="48.109375" style="101" customWidth="1"/>
    <col min="11271" max="11520" width="9" style="101"/>
    <col min="11521" max="11521" width="28.109375" style="101" customWidth="1"/>
    <col min="11522" max="11522" width="10" style="101" customWidth="1"/>
    <col min="11523" max="11523" width="14.33203125" style="101" customWidth="1"/>
    <col min="11524" max="11524" width="8" style="101" customWidth="1"/>
    <col min="11525" max="11525" width="38" style="101" customWidth="1"/>
    <col min="11526" max="11526" width="48.109375" style="101" customWidth="1"/>
    <col min="11527" max="11776" width="9" style="101"/>
    <col min="11777" max="11777" width="28.109375" style="101" customWidth="1"/>
    <col min="11778" max="11778" width="10" style="101" customWidth="1"/>
    <col min="11779" max="11779" width="14.33203125" style="101" customWidth="1"/>
    <col min="11780" max="11780" width="8" style="101" customWidth="1"/>
    <col min="11781" max="11781" width="38" style="101" customWidth="1"/>
    <col min="11782" max="11782" width="48.109375" style="101" customWidth="1"/>
    <col min="11783" max="12032" width="9" style="101"/>
    <col min="12033" max="12033" width="28.109375" style="101" customWidth="1"/>
    <col min="12034" max="12034" width="10" style="101" customWidth="1"/>
    <col min="12035" max="12035" width="14.33203125" style="101" customWidth="1"/>
    <col min="12036" max="12036" width="8" style="101" customWidth="1"/>
    <col min="12037" max="12037" width="38" style="101" customWidth="1"/>
    <col min="12038" max="12038" width="48.109375" style="101" customWidth="1"/>
    <col min="12039" max="12288" width="9" style="101"/>
    <col min="12289" max="12289" width="28.109375" style="101" customWidth="1"/>
    <col min="12290" max="12290" width="10" style="101" customWidth="1"/>
    <col min="12291" max="12291" width="14.33203125" style="101" customWidth="1"/>
    <col min="12292" max="12292" width="8" style="101" customWidth="1"/>
    <col min="12293" max="12293" width="38" style="101" customWidth="1"/>
    <col min="12294" max="12294" width="48.109375" style="101" customWidth="1"/>
    <col min="12295" max="12544" width="9" style="101"/>
    <col min="12545" max="12545" width="28.109375" style="101" customWidth="1"/>
    <col min="12546" max="12546" width="10" style="101" customWidth="1"/>
    <col min="12547" max="12547" width="14.33203125" style="101" customWidth="1"/>
    <col min="12548" max="12548" width="8" style="101" customWidth="1"/>
    <col min="12549" max="12549" width="38" style="101" customWidth="1"/>
    <col min="12550" max="12550" width="48.109375" style="101" customWidth="1"/>
    <col min="12551" max="12800" width="9" style="101"/>
    <col min="12801" max="12801" width="28.109375" style="101" customWidth="1"/>
    <col min="12802" max="12802" width="10" style="101" customWidth="1"/>
    <col min="12803" max="12803" width="14.33203125" style="101" customWidth="1"/>
    <col min="12804" max="12804" width="8" style="101" customWidth="1"/>
    <col min="12805" max="12805" width="38" style="101" customWidth="1"/>
    <col min="12806" max="12806" width="48.109375" style="101" customWidth="1"/>
    <col min="12807" max="13056" width="9" style="101"/>
    <col min="13057" max="13057" width="28.109375" style="101" customWidth="1"/>
    <col min="13058" max="13058" width="10" style="101" customWidth="1"/>
    <col min="13059" max="13059" width="14.33203125" style="101" customWidth="1"/>
    <col min="13060" max="13060" width="8" style="101" customWidth="1"/>
    <col min="13061" max="13061" width="38" style="101" customWidth="1"/>
    <col min="13062" max="13062" width="48.109375" style="101" customWidth="1"/>
    <col min="13063" max="13312" width="9" style="101"/>
    <col min="13313" max="13313" width="28.109375" style="101" customWidth="1"/>
    <col min="13314" max="13314" width="10" style="101" customWidth="1"/>
    <col min="13315" max="13315" width="14.33203125" style="101" customWidth="1"/>
    <col min="13316" max="13316" width="8" style="101" customWidth="1"/>
    <col min="13317" max="13317" width="38" style="101" customWidth="1"/>
    <col min="13318" max="13318" width="48.109375" style="101" customWidth="1"/>
    <col min="13319" max="13568" width="9" style="101"/>
    <col min="13569" max="13569" width="28.109375" style="101" customWidth="1"/>
    <col min="13570" max="13570" width="10" style="101" customWidth="1"/>
    <col min="13571" max="13571" width="14.33203125" style="101" customWidth="1"/>
    <col min="13572" max="13572" width="8" style="101" customWidth="1"/>
    <col min="13573" max="13573" width="38" style="101" customWidth="1"/>
    <col min="13574" max="13574" width="48.109375" style="101" customWidth="1"/>
    <col min="13575" max="13824" width="9" style="101"/>
    <col min="13825" max="13825" width="28.109375" style="101" customWidth="1"/>
    <col min="13826" max="13826" width="10" style="101" customWidth="1"/>
    <col min="13827" max="13827" width="14.33203125" style="101" customWidth="1"/>
    <col min="13828" max="13828" width="8" style="101" customWidth="1"/>
    <col min="13829" max="13829" width="38" style="101" customWidth="1"/>
    <col min="13830" max="13830" width="48.109375" style="101" customWidth="1"/>
    <col min="13831" max="14080" width="9" style="101"/>
    <col min="14081" max="14081" width="28.109375" style="101" customWidth="1"/>
    <col min="14082" max="14082" width="10" style="101" customWidth="1"/>
    <col min="14083" max="14083" width="14.33203125" style="101" customWidth="1"/>
    <col min="14084" max="14084" width="8" style="101" customWidth="1"/>
    <col min="14085" max="14085" width="38" style="101" customWidth="1"/>
    <col min="14086" max="14086" width="48.109375" style="101" customWidth="1"/>
    <col min="14087" max="14336" width="9" style="101"/>
    <col min="14337" max="14337" width="28.109375" style="101" customWidth="1"/>
    <col min="14338" max="14338" width="10" style="101" customWidth="1"/>
    <col min="14339" max="14339" width="14.33203125" style="101" customWidth="1"/>
    <col min="14340" max="14340" width="8" style="101" customWidth="1"/>
    <col min="14341" max="14341" width="38" style="101" customWidth="1"/>
    <col min="14342" max="14342" width="48.109375" style="101" customWidth="1"/>
    <col min="14343" max="14592" width="9" style="101"/>
    <col min="14593" max="14593" width="28.109375" style="101" customWidth="1"/>
    <col min="14594" max="14594" width="10" style="101" customWidth="1"/>
    <col min="14595" max="14595" width="14.33203125" style="101" customWidth="1"/>
    <col min="14596" max="14596" width="8" style="101" customWidth="1"/>
    <col min="14597" max="14597" width="38" style="101" customWidth="1"/>
    <col min="14598" max="14598" width="48.109375" style="101" customWidth="1"/>
    <col min="14599" max="14848" width="9" style="101"/>
    <col min="14849" max="14849" width="28.109375" style="101" customWidth="1"/>
    <col min="14850" max="14850" width="10" style="101" customWidth="1"/>
    <col min="14851" max="14851" width="14.33203125" style="101" customWidth="1"/>
    <col min="14852" max="14852" width="8" style="101" customWidth="1"/>
    <col min="14853" max="14853" width="38" style="101" customWidth="1"/>
    <col min="14854" max="14854" width="48.109375" style="101" customWidth="1"/>
    <col min="14855" max="15104" width="9" style="101"/>
    <col min="15105" max="15105" width="28.109375" style="101" customWidth="1"/>
    <col min="15106" max="15106" width="10" style="101" customWidth="1"/>
    <col min="15107" max="15107" width="14.33203125" style="101" customWidth="1"/>
    <col min="15108" max="15108" width="8" style="101" customWidth="1"/>
    <col min="15109" max="15109" width="38" style="101" customWidth="1"/>
    <col min="15110" max="15110" width="48.109375" style="101" customWidth="1"/>
    <col min="15111" max="15360" width="9" style="101"/>
    <col min="15361" max="15361" width="28.109375" style="101" customWidth="1"/>
    <col min="15362" max="15362" width="10" style="101" customWidth="1"/>
    <col min="15363" max="15363" width="14.33203125" style="101" customWidth="1"/>
    <col min="15364" max="15364" width="8" style="101" customWidth="1"/>
    <col min="15365" max="15365" width="38" style="101" customWidth="1"/>
    <col min="15366" max="15366" width="48.109375" style="101" customWidth="1"/>
    <col min="15367" max="15616" width="9" style="101"/>
    <col min="15617" max="15617" width="28.109375" style="101" customWidth="1"/>
    <col min="15618" max="15618" width="10" style="101" customWidth="1"/>
    <col min="15619" max="15619" width="14.33203125" style="101" customWidth="1"/>
    <col min="15620" max="15620" width="8" style="101" customWidth="1"/>
    <col min="15621" max="15621" width="38" style="101" customWidth="1"/>
    <col min="15622" max="15622" width="48.109375" style="101" customWidth="1"/>
    <col min="15623" max="15872" width="9" style="101"/>
    <col min="15873" max="15873" width="28.109375" style="101" customWidth="1"/>
    <col min="15874" max="15874" width="10" style="101" customWidth="1"/>
    <col min="15875" max="15875" width="14.33203125" style="101" customWidth="1"/>
    <col min="15876" max="15876" width="8" style="101" customWidth="1"/>
    <col min="15877" max="15877" width="38" style="101" customWidth="1"/>
    <col min="15878" max="15878" width="48.109375" style="101" customWidth="1"/>
    <col min="15879" max="16128" width="9" style="101"/>
    <col min="16129" max="16129" width="28.109375" style="101" customWidth="1"/>
    <col min="16130" max="16130" width="10" style="101" customWidth="1"/>
    <col min="16131" max="16131" width="14.33203125" style="101" customWidth="1"/>
    <col min="16132" max="16132" width="8" style="101" customWidth="1"/>
    <col min="16133" max="16133" width="38" style="101" customWidth="1"/>
    <col min="16134" max="16134" width="48.109375" style="101" customWidth="1"/>
    <col min="16135" max="16384" width="9" style="101"/>
  </cols>
  <sheetData>
    <row r="2" spans="1:6" s="98" customFormat="1" ht="75.75" customHeight="1">
      <c r="A2" s="97"/>
      <c r="B2" s="129" t="s">
        <v>51</v>
      </c>
      <c r="C2" s="129"/>
      <c r="D2" s="129"/>
      <c r="E2" s="129"/>
      <c r="F2" s="129"/>
    </row>
    <row r="3" spans="1:6">
      <c r="A3" s="99"/>
      <c r="B3" s="100"/>
      <c r="E3" s="102"/>
    </row>
    <row r="4" spans="1:6" ht="14.25" customHeight="1">
      <c r="A4" s="103" t="s">
        <v>52</v>
      </c>
      <c r="B4" s="130" t="s">
        <v>0</v>
      </c>
      <c r="C4" s="130"/>
      <c r="D4" s="130"/>
      <c r="E4" s="103" t="s">
        <v>55</v>
      </c>
      <c r="F4" s="104"/>
    </row>
    <row r="5" spans="1:6" ht="14.25" customHeight="1">
      <c r="A5" s="103" t="s">
        <v>53</v>
      </c>
      <c r="B5" s="130" t="s">
        <v>1</v>
      </c>
      <c r="C5" s="130"/>
      <c r="D5" s="130"/>
      <c r="E5" s="103" t="s">
        <v>56</v>
      </c>
      <c r="F5" s="105" t="s">
        <v>58</v>
      </c>
    </row>
    <row r="6" spans="1:6" ht="15.75" customHeight="1">
      <c r="A6" s="106" t="s">
        <v>54</v>
      </c>
      <c r="B6" s="131" t="str">
        <f>B5&amp;"_"&amp;"XXX"&amp;"_"&amp;"vx.x"</f>
        <v>&lt;Project Code&gt;_XXX_vx.x</v>
      </c>
      <c r="C6" s="132"/>
      <c r="D6" s="133"/>
      <c r="E6" s="103" t="s">
        <v>57</v>
      </c>
      <c r="F6" s="107"/>
    </row>
    <row r="7" spans="1:6">
      <c r="A7" s="108"/>
      <c r="B7" s="109"/>
      <c r="E7" s="110"/>
      <c r="F7" s="100"/>
    </row>
    <row r="8" spans="1:6">
      <c r="A8" s="101"/>
    </row>
    <row r="9" spans="1:6">
      <c r="A9" s="111" t="s">
        <v>2</v>
      </c>
    </row>
    <row r="10" spans="1:6" s="115" customFormat="1">
      <c r="A10" s="112" t="s">
        <v>59</v>
      </c>
      <c r="B10" s="113" t="s">
        <v>57</v>
      </c>
      <c r="C10" s="113" t="s">
        <v>60</v>
      </c>
      <c r="D10" s="113" t="s">
        <v>3</v>
      </c>
      <c r="E10" s="113" t="s">
        <v>61</v>
      </c>
      <c r="F10" s="114" t="s">
        <v>62</v>
      </c>
    </row>
    <row r="11" spans="1:6" s="121" customFormat="1" ht="26.25" customHeight="1">
      <c r="A11" s="116" t="s">
        <v>64</v>
      </c>
      <c r="B11" s="117"/>
      <c r="C11" s="118"/>
      <c r="D11" s="118"/>
      <c r="E11" s="119"/>
      <c r="F11" s="120" t="s">
        <v>63</v>
      </c>
    </row>
    <row r="12" spans="1:6" s="121" customFormat="1" ht="21.75" customHeight="1">
      <c r="A12" s="122"/>
      <c r="B12" s="117"/>
      <c r="C12" s="118"/>
      <c r="D12" s="118"/>
      <c r="E12" s="118"/>
      <c r="F12" s="123"/>
    </row>
    <row r="13" spans="1:6" s="121" customFormat="1" ht="19.5" customHeight="1">
      <c r="A13" s="122"/>
      <c r="B13" s="117"/>
      <c r="C13" s="118"/>
      <c r="D13" s="118"/>
      <c r="E13" s="118"/>
      <c r="F13" s="123"/>
    </row>
    <row r="14" spans="1:6" s="121" customFormat="1" ht="21.75" customHeight="1">
      <c r="A14" s="122"/>
      <c r="B14" s="117"/>
      <c r="C14" s="118"/>
      <c r="D14" s="118"/>
      <c r="E14" s="118"/>
      <c r="F14" s="123"/>
    </row>
    <row r="15" spans="1:6" s="121" customFormat="1" ht="19.5" customHeight="1">
      <c r="A15" s="122"/>
      <c r="B15" s="117"/>
      <c r="C15" s="118"/>
      <c r="D15" s="118"/>
      <c r="E15" s="118"/>
      <c r="F15" s="123"/>
    </row>
    <row r="16" spans="1:6" s="121" customFormat="1" ht="21.75" customHeight="1">
      <c r="A16" s="122"/>
      <c r="B16" s="117"/>
      <c r="C16" s="118"/>
      <c r="D16" s="118"/>
      <c r="E16" s="118"/>
      <c r="F16" s="123"/>
    </row>
    <row r="17" spans="1:6" s="121" customFormat="1" ht="19.5" customHeight="1">
      <c r="A17" s="124"/>
      <c r="B17" s="125"/>
      <c r="C17" s="126"/>
      <c r="D17" s="126"/>
      <c r="E17" s="126"/>
      <c r="F17" s="127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tabSelected="1" topLeftCell="A7" workbookViewId="0">
      <selection activeCell="I6" sqref="I6"/>
    </sheetView>
  </sheetViews>
  <sheetFormatPr defaultColWidth="9" defaultRowHeight="13.2"/>
  <cols>
    <col min="1" max="1" width="1.33203125" style="1" customWidth="1"/>
    <col min="2" max="2" width="11.77734375" style="3" customWidth="1"/>
    <col min="3" max="3" width="26.44140625" style="4" customWidth="1"/>
    <col min="4" max="4" width="17.109375" style="4" customWidth="1"/>
    <col min="5" max="5" width="28.109375" style="4" customWidth="1"/>
    <col min="6" max="6" width="30.6640625" style="4" customWidth="1"/>
    <col min="7" max="16384" width="9" style="1"/>
  </cols>
  <sheetData>
    <row r="1" spans="2:6" ht="24.6">
      <c r="B1" s="5"/>
      <c r="D1" s="6" t="s">
        <v>4</v>
      </c>
      <c r="E1" s="7"/>
    </row>
    <row r="2" spans="2:6" ht="13.5" customHeight="1">
      <c r="B2" s="5"/>
      <c r="D2" s="8"/>
      <c r="E2" s="8"/>
    </row>
    <row r="3" spans="2:6">
      <c r="B3" s="136" t="s">
        <v>52</v>
      </c>
      <c r="C3" s="136"/>
      <c r="D3" s="137" t="e">
        <f>#REF!</f>
        <v>#REF!</v>
      </c>
      <c r="E3" s="137"/>
      <c r="F3" s="137"/>
    </row>
    <row r="4" spans="2:6">
      <c r="B4" s="136" t="s">
        <v>53</v>
      </c>
      <c r="C4" s="136"/>
      <c r="D4" s="137" t="e">
        <f>#REF!</f>
        <v>#REF!</v>
      </c>
      <c r="E4" s="137"/>
      <c r="F4" s="137"/>
    </row>
    <row r="5" spans="2:6" s="9" customFormat="1" ht="84.75" customHeight="1">
      <c r="B5" s="134" t="s">
        <v>65</v>
      </c>
      <c r="C5" s="134"/>
      <c r="D5" s="135" t="s">
        <v>66</v>
      </c>
      <c r="E5" s="135"/>
      <c r="F5" s="135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67</v>
      </c>
      <c r="C8" s="16" t="s">
        <v>68</v>
      </c>
      <c r="D8" s="16" t="s">
        <v>69</v>
      </c>
      <c r="E8" s="17" t="s">
        <v>70</v>
      </c>
      <c r="F8" s="18" t="s">
        <v>71</v>
      </c>
    </row>
    <row r="9" spans="2:6">
      <c r="B9" s="19">
        <v>1</v>
      </c>
      <c r="C9" s="20" t="s">
        <v>5</v>
      </c>
      <c r="D9" s="94" t="s">
        <v>31</v>
      </c>
      <c r="E9" s="21"/>
      <c r="F9" s="22"/>
    </row>
    <row r="10" spans="2:6">
      <c r="B10" s="19">
        <v>2</v>
      </c>
      <c r="C10" s="20" t="s">
        <v>6</v>
      </c>
      <c r="D10" s="94" t="s">
        <v>31</v>
      </c>
      <c r="E10" s="21"/>
      <c r="F10" s="22"/>
    </row>
    <row r="11" spans="2:6">
      <c r="B11" s="19">
        <v>3</v>
      </c>
      <c r="C11" s="20" t="s">
        <v>7</v>
      </c>
      <c r="D11" s="94" t="s">
        <v>31</v>
      </c>
      <c r="E11" s="21"/>
      <c r="F11" s="22"/>
    </row>
    <row r="12" spans="2:6">
      <c r="B12" s="19">
        <v>4</v>
      </c>
      <c r="C12" s="20" t="s">
        <v>8</v>
      </c>
      <c r="D12" s="94" t="s">
        <v>32</v>
      </c>
      <c r="E12" s="21"/>
      <c r="F12" s="22"/>
    </row>
    <row r="13" spans="2:6">
      <c r="B13" s="19">
        <v>5</v>
      </c>
      <c r="C13" s="20" t="s">
        <v>9</v>
      </c>
      <c r="D13" s="94" t="s">
        <v>32</v>
      </c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tabSelected="1" workbookViewId="0">
      <selection activeCell="I6" sqref="I6"/>
    </sheetView>
  </sheetViews>
  <sheetFormatPr defaultColWidth="9" defaultRowHeight="13.2"/>
  <cols>
    <col min="1" max="1" width="4.44140625" style="1" customWidth="1"/>
    <col min="2" max="2" width="18.33203125" style="1" customWidth="1"/>
    <col min="3" max="3" width="19.33203125" style="1" customWidth="1"/>
    <col min="4" max="4" width="17.88671875" style="1" customWidth="1"/>
    <col min="5" max="6" width="11.6640625" style="1" customWidth="1"/>
    <col min="7" max="7" width="9" style="1"/>
    <col min="8" max="8" width="35.44140625" style="1" customWidth="1"/>
    <col min="9" max="9" width="33.109375" style="1" customWidth="1"/>
    <col min="10" max="16384" width="9" style="1"/>
  </cols>
  <sheetData>
    <row r="1" spans="1:8" ht="25.5" customHeight="1">
      <c r="B1" s="140" t="s">
        <v>72</v>
      </c>
      <c r="C1" s="140"/>
      <c r="D1" s="140"/>
      <c r="E1" s="140"/>
      <c r="F1" s="140"/>
      <c r="G1" s="140"/>
      <c r="H1" s="140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52</v>
      </c>
      <c r="C3" s="137" t="s">
        <v>0</v>
      </c>
      <c r="D3" s="137"/>
      <c r="E3" s="138" t="s">
        <v>75</v>
      </c>
      <c r="F3" s="138"/>
      <c r="G3" s="50"/>
      <c r="H3" s="51"/>
    </row>
    <row r="4" spans="1:8" ht="12" customHeight="1">
      <c r="B4" s="2" t="s">
        <v>53</v>
      </c>
      <c r="C4" s="137" t="s">
        <v>1</v>
      </c>
      <c r="D4" s="137"/>
      <c r="E4" s="138" t="s">
        <v>74</v>
      </c>
      <c r="F4" s="138"/>
      <c r="G4" s="50"/>
      <c r="H4" s="51"/>
    </row>
    <row r="5" spans="1:8" ht="12" customHeight="1">
      <c r="B5" s="52" t="s">
        <v>54</v>
      </c>
      <c r="C5" s="137" t="str">
        <f>C4&amp;"_"&amp;"Test Report"&amp;"_"&amp;"vx.x"</f>
        <v>&lt;Project Code&gt;_Test Report_vx.x</v>
      </c>
      <c r="D5" s="137"/>
      <c r="E5" s="138" t="s">
        <v>56</v>
      </c>
      <c r="F5" s="138"/>
      <c r="G5" s="50"/>
      <c r="H5" s="53" t="s">
        <v>58</v>
      </c>
    </row>
    <row r="6" spans="1:8" ht="21.75" customHeight="1">
      <c r="A6" s="47"/>
      <c r="B6" s="52" t="s">
        <v>73</v>
      </c>
      <c r="C6" s="139" t="s">
        <v>26</v>
      </c>
      <c r="D6" s="139"/>
      <c r="E6" s="139"/>
      <c r="F6" s="139"/>
      <c r="G6" s="139"/>
      <c r="H6" s="139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67</v>
      </c>
      <c r="C10" s="58" t="s">
        <v>27</v>
      </c>
      <c r="D10" s="59" t="s">
        <v>79</v>
      </c>
      <c r="E10" s="58" t="s">
        <v>80</v>
      </c>
      <c r="F10" s="58" t="s">
        <v>81</v>
      </c>
      <c r="G10" s="60" t="s">
        <v>13</v>
      </c>
      <c r="H10" s="61" t="s">
        <v>78</v>
      </c>
    </row>
    <row r="11" spans="1:8">
      <c r="A11" s="56"/>
      <c r="B11" s="62">
        <v>1</v>
      </c>
      <c r="C11" s="63" t="str">
        <f>'Feature 1'!B2</f>
        <v>&lt;Tên tính năng1&gt;</v>
      </c>
      <c r="D11" s="64">
        <f>'Feature 1'!B6</f>
        <v>0</v>
      </c>
      <c r="E11" s="64">
        <f>'Feature 1'!C6</f>
        <v>0</v>
      </c>
      <c r="F11" s="64">
        <f>'Feature 1'!D6</f>
        <v>0</v>
      </c>
      <c r="G11" s="64">
        <f>'Feature 1'!E6</f>
        <v>0</v>
      </c>
      <c r="H11" s="66">
        <f>'Feature 1'!B4</f>
        <v>8</v>
      </c>
    </row>
    <row r="12" spans="1:8">
      <c r="A12" s="56"/>
      <c r="B12" s="62">
        <v>2</v>
      </c>
      <c r="C12" s="63" t="str">
        <f>'Feature 2'!B2</f>
        <v>&lt;Feature Name2&gt;</v>
      </c>
      <c r="D12" s="64">
        <f>'Feature 2'!B6</f>
        <v>0</v>
      </c>
      <c r="E12" s="64">
        <f>'Feature 2'!C6</f>
        <v>0</v>
      </c>
      <c r="F12" s="64">
        <f>'Feature 2'!D6</f>
        <v>5</v>
      </c>
      <c r="G12" s="64">
        <f>'Feature 2'!E6</f>
        <v>0</v>
      </c>
      <c r="H12" s="64">
        <f>'Feature 2'!B4</f>
        <v>7</v>
      </c>
    </row>
    <row r="13" spans="1:8">
      <c r="A13" s="56"/>
      <c r="B13" s="62"/>
      <c r="C13" s="63"/>
      <c r="D13" s="64"/>
      <c r="E13" s="64"/>
      <c r="F13" s="64"/>
      <c r="G13" s="65"/>
      <c r="H13" s="66"/>
    </row>
    <row r="14" spans="1:8">
      <c r="A14" s="56"/>
      <c r="B14" s="67"/>
      <c r="C14" s="68" t="s">
        <v>82</v>
      </c>
      <c r="D14" s="69">
        <f>SUM(D9:D13)</f>
        <v>0</v>
      </c>
      <c r="E14" s="69">
        <f>SUM(E9:E13)</f>
        <v>0</v>
      </c>
      <c r="F14" s="69">
        <f>SUM(F9:F13)</f>
        <v>5</v>
      </c>
      <c r="G14" s="69">
        <f>SUM(G9:G13)</f>
        <v>0</v>
      </c>
      <c r="H14" s="70">
        <f>SUM(H9:H13)</f>
        <v>15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76</v>
      </c>
      <c r="E16" s="75">
        <f>(D14+E14)*100/(H14-G14)</f>
        <v>0</v>
      </c>
      <c r="F16" s="1" t="s">
        <v>28</v>
      </c>
      <c r="H16" s="33"/>
    </row>
    <row r="17" spans="3:8">
      <c r="C17" s="74" t="s">
        <v>77</v>
      </c>
      <c r="E17" s="75">
        <f>D14*100/(H14-G14)</f>
        <v>0</v>
      </c>
      <c r="F17" s="1" t="s">
        <v>28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9"/>
  <sheetViews>
    <sheetView tabSelected="1" zoomScaleNormal="100" workbookViewId="0">
      <pane ySplit="10" topLeftCell="A14" activePane="bottomLeft" state="frozen"/>
      <selection pane="bottomLeft" activeCell="I6" sqref="I6"/>
    </sheetView>
  </sheetViews>
  <sheetFormatPr defaultColWidth="9" defaultRowHeight="13.2" outlineLevelRow="1" outlineLevelCol="1"/>
  <cols>
    <col min="1" max="1" width="21.77734375" style="1" customWidth="1"/>
    <col min="2" max="2" width="25.88671875" style="1" customWidth="1"/>
    <col min="3" max="3" width="18.109375" style="1" customWidth="1"/>
    <col min="4" max="4" width="15.88671875" style="1" customWidth="1"/>
    <col min="5" max="5" width="14.7773437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3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6384" width="9" style="1"/>
  </cols>
  <sheetData>
    <row r="1" spans="1:18" ht="13.8" thickBot="1"/>
    <row r="2" spans="1:18" s="30" customFormat="1" ht="15" customHeight="1">
      <c r="A2" s="145" t="s">
        <v>83</v>
      </c>
      <c r="B2" s="141" t="s">
        <v>91</v>
      </c>
      <c r="C2" s="141"/>
      <c r="D2" s="141"/>
      <c r="E2" s="142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36</v>
      </c>
    </row>
    <row r="3" spans="1:18" s="30" customFormat="1" ht="19.8" customHeight="1">
      <c r="A3" s="146" t="s">
        <v>84</v>
      </c>
      <c r="B3" s="143" t="s">
        <v>90</v>
      </c>
      <c r="C3" s="143"/>
      <c r="D3" s="143"/>
      <c r="E3" s="144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37</v>
      </c>
    </row>
    <row r="4" spans="1:18" s="30" customFormat="1" ht="35.4" customHeight="1">
      <c r="A4" s="146" t="s">
        <v>85</v>
      </c>
      <c r="B4" s="143">
        <f>COUNTA(A12:A1000)</f>
        <v>8</v>
      </c>
      <c r="C4" s="143"/>
      <c r="D4" s="143"/>
      <c r="E4" s="144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35</v>
      </c>
    </row>
    <row r="5" spans="1:18" s="30" customFormat="1" ht="19.5" customHeight="1">
      <c r="A5" s="147" t="s">
        <v>86</v>
      </c>
      <c r="B5" s="148" t="s">
        <v>79</v>
      </c>
      <c r="C5" s="148" t="s">
        <v>80</v>
      </c>
      <c r="D5" s="148" t="s">
        <v>81</v>
      </c>
      <c r="E5" s="149" t="s">
        <v>13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13</v>
      </c>
    </row>
    <row r="6" spans="1:18" s="30" customFormat="1" ht="15" customHeight="1">
      <c r="A6" s="147" t="s">
        <v>87</v>
      </c>
      <c r="B6" s="95">
        <f>COUNTIF($F10:$F998,B5)</f>
        <v>0</v>
      </c>
      <c r="C6" s="95">
        <f t="shared" ref="C6:E6" si="0">COUNTIF($F10:$F998,C5)</f>
        <v>0</v>
      </c>
      <c r="D6" s="95">
        <f t="shared" si="0"/>
        <v>0</v>
      </c>
      <c r="E6" s="96">
        <f t="shared" si="0"/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147" t="s">
        <v>89</v>
      </c>
      <c r="B7" s="95">
        <f>COUNTIF($F10:$F998,B5)</f>
        <v>0</v>
      </c>
      <c r="C7" s="95">
        <f t="shared" ref="C7:E7" si="1">COUNTIF($F10:$F998,C5)</f>
        <v>0</v>
      </c>
      <c r="D7" s="95">
        <f t="shared" si="1"/>
        <v>0</v>
      </c>
      <c r="E7" s="96">
        <f t="shared" si="1"/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150" t="s">
        <v>88</v>
      </c>
      <c r="B8" s="151">
        <f>COUNTIF($F10:$F998,B5)</f>
        <v>0</v>
      </c>
      <c r="C8" s="151">
        <f t="shared" ref="C8:E8" si="2">COUNTIF($F10:$F998,C5)</f>
        <v>0</v>
      </c>
      <c r="D8" s="151">
        <f t="shared" si="2"/>
        <v>0</v>
      </c>
      <c r="E8" s="152">
        <f t="shared" si="2"/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49</v>
      </c>
      <c r="B10" s="83" t="s">
        <v>92</v>
      </c>
      <c r="C10" s="83" t="s">
        <v>93</v>
      </c>
      <c r="D10" s="83" t="s">
        <v>94</v>
      </c>
      <c r="E10" s="83" t="s">
        <v>71</v>
      </c>
      <c r="F10" s="83" t="s">
        <v>87</v>
      </c>
      <c r="G10" s="83" t="s">
        <v>95</v>
      </c>
      <c r="H10" s="83" t="s">
        <v>12</v>
      </c>
      <c r="I10" s="83" t="s">
        <v>89</v>
      </c>
      <c r="J10" s="83" t="s">
        <v>96</v>
      </c>
      <c r="K10" s="83" t="s">
        <v>12</v>
      </c>
      <c r="L10" s="83" t="s">
        <v>88</v>
      </c>
      <c r="M10" s="83" t="s">
        <v>15</v>
      </c>
      <c r="N10" s="83" t="s">
        <v>12</v>
      </c>
      <c r="O10" s="83" t="s">
        <v>73</v>
      </c>
      <c r="Q10" s="34"/>
    </row>
    <row r="11" spans="1:18" s="30" customFormat="1" ht="15.75" customHeight="1">
      <c r="A11" s="79" t="s">
        <v>5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.05" customHeight="1" outlineLevel="1">
      <c r="A12" s="39" t="s">
        <v>43</v>
      </c>
      <c r="B12" s="40" t="s">
        <v>97</v>
      </c>
      <c r="C12" s="40" t="s">
        <v>98</v>
      </c>
      <c r="D12" s="41" t="s">
        <v>99</v>
      </c>
      <c r="E12" s="41" t="s">
        <v>100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outlineLevel="1">
      <c r="A13" s="39" t="s">
        <v>44</v>
      </c>
      <c r="B13" s="39" t="s">
        <v>21</v>
      </c>
      <c r="C13" s="39"/>
      <c r="D13" s="45"/>
      <c r="E13" s="45"/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outlineLevel="1">
      <c r="A14" s="39" t="s">
        <v>45</v>
      </c>
      <c r="B14" s="39" t="s">
        <v>22</v>
      </c>
      <c r="C14" s="39"/>
      <c r="D14" s="45"/>
      <c r="E14" s="45"/>
      <c r="F14" s="39" t="s">
        <v>35</v>
      </c>
      <c r="G14" s="39"/>
      <c r="H14" s="39"/>
      <c r="I14" s="39" t="s">
        <v>35</v>
      </c>
      <c r="J14" s="39"/>
      <c r="K14" s="39"/>
      <c r="L14" s="39" t="s">
        <v>35</v>
      </c>
      <c r="M14" s="39"/>
      <c r="N14" s="39"/>
      <c r="O14" s="42"/>
      <c r="Q14" s="43"/>
    </row>
    <row r="15" spans="1:18" s="30" customFormat="1" ht="15.75" customHeight="1">
      <c r="A15" s="79" t="s">
        <v>6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 t="s">
        <v>46</v>
      </c>
      <c r="B16" s="39" t="s">
        <v>23</v>
      </c>
      <c r="C16" s="39"/>
      <c r="D16" s="39"/>
      <c r="E16" s="39"/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7" outlineLevel="1">
      <c r="A17" s="39" t="s">
        <v>47</v>
      </c>
      <c r="B17" s="39" t="s">
        <v>24</v>
      </c>
      <c r="C17" s="39"/>
      <c r="D17" s="39"/>
      <c r="E17" s="39"/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s="30" customFormat="1" ht="15.75" customHeight="1">
      <c r="A18" s="79" t="s">
        <v>7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outlineLevel="1">
      <c r="A19" s="39" t="s">
        <v>48</v>
      </c>
      <c r="B19" s="39" t="s">
        <v>25</v>
      </c>
      <c r="C19" s="39"/>
      <c r="D19" s="39"/>
      <c r="E19" s="39"/>
      <c r="F19" s="39" t="s">
        <v>35</v>
      </c>
      <c r="G19" s="39"/>
      <c r="H19" s="39"/>
      <c r="I19" s="39" t="s">
        <v>35</v>
      </c>
      <c r="J19" s="39"/>
      <c r="K19" s="39"/>
      <c r="L19" s="39" t="s">
        <v>35</v>
      </c>
      <c r="M19" s="39"/>
      <c r="N19" s="39"/>
      <c r="O19" s="42"/>
      <c r="Q19" s="43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G2:G3 G9 G20:G147 I12:I19 J2:J3 J9 J20:J147 F12:F19 M2:M3 M9 M20:M147 L12:L19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R18"/>
  <sheetViews>
    <sheetView tabSelected="1" zoomScale="85" zoomScaleNormal="85" workbookViewId="0">
      <pane ySplit="10" topLeftCell="A11" activePane="bottomLeft" state="frozen"/>
      <selection activeCell="I6" sqref="I6"/>
      <selection pane="bottomLeft" activeCell="I6" sqref="I6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6384" width="9" style="1"/>
  </cols>
  <sheetData>
    <row r="1" spans="1:18" ht="13.8" thickBot="1"/>
    <row r="2" spans="1:18" s="30" customFormat="1" ht="15" customHeight="1">
      <c r="A2" s="92" t="s">
        <v>33</v>
      </c>
      <c r="B2" s="141" t="s">
        <v>34</v>
      </c>
      <c r="C2" s="141"/>
      <c r="D2" s="141"/>
      <c r="E2" s="142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36</v>
      </c>
    </row>
    <row r="3" spans="1:18" s="30" customFormat="1" ht="26.4">
      <c r="A3" s="93" t="s">
        <v>10</v>
      </c>
      <c r="B3" s="143" t="s">
        <v>11</v>
      </c>
      <c r="C3" s="143"/>
      <c r="D3" s="143"/>
      <c r="E3" s="144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37</v>
      </c>
    </row>
    <row r="4" spans="1:18" s="30" customFormat="1" ht="18" customHeight="1">
      <c r="A4" s="93" t="s">
        <v>50</v>
      </c>
      <c r="B4" s="143">
        <f>COUNTA(A12:A998)</f>
        <v>7</v>
      </c>
      <c r="C4" s="143"/>
      <c r="D4" s="143"/>
      <c r="E4" s="144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35</v>
      </c>
    </row>
    <row r="5" spans="1:18" s="30" customFormat="1" ht="19.5" customHeight="1">
      <c r="A5" s="86" t="s">
        <v>38</v>
      </c>
      <c r="B5" s="84" t="s">
        <v>36</v>
      </c>
      <c r="C5" s="84" t="s">
        <v>37</v>
      </c>
      <c r="D5" s="84" t="s">
        <v>35</v>
      </c>
      <c r="E5" s="87" t="s">
        <v>13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13</v>
      </c>
    </row>
    <row r="6" spans="1:18" s="30" customFormat="1" ht="15" customHeight="1">
      <c r="A6" s="86" t="s">
        <v>39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41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42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49</v>
      </c>
      <c r="B10" s="83" t="s">
        <v>14</v>
      </c>
      <c r="C10" s="83" t="s">
        <v>30</v>
      </c>
      <c r="D10" s="83" t="s">
        <v>29</v>
      </c>
      <c r="E10" s="83" t="s">
        <v>40</v>
      </c>
      <c r="F10" s="83" t="s">
        <v>39</v>
      </c>
      <c r="G10" s="83" t="s">
        <v>15</v>
      </c>
      <c r="H10" s="83" t="s">
        <v>12</v>
      </c>
      <c r="I10" s="83" t="s">
        <v>41</v>
      </c>
      <c r="J10" s="83" t="s">
        <v>15</v>
      </c>
      <c r="K10" s="83" t="s">
        <v>12</v>
      </c>
      <c r="L10" s="83" t="s">
        <v>42</v>
      </c>
      <c r="M10" s="83" t="s">
        <v>15</v>
      </c>
      <c r="N10" s="83" t="s">
        <v>12</v>
      </c>
      <c r="O10" s="83" t="s">
        <v>16</v>
      </c>
      <c r="Q10" s="34"/>
    </row>
    <row r="11" spans="1:18" s="30" customFormat="1" ht="15.75" customHeight="1">
      <c r="A11" s="79" t="s">
        <v>8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.05" customHeight="1" outlineLevel="1">
      <c r="A12" s="39" t="s">
        <v>43</v>
      </c>
      <c r="B12" s="40" t="s">
        <v>17</v>
      </c>
      <c r="C12" s="40" t="s">
        <v>18</v>
      </c>
      <c r="D12" s="41" t="s">
        <v>19</v>
      </c>
      <c r="E12" s="41" t="s">
        <v>20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outlineLevel="1">
      <c r="A13" s="39" t="s">
        <v>44</v>
      </c>
      <c r="B13" s="39" t="s">
        <v>21</v>
      </c>
      <c r="C13" s="39"/>
      <c r="D13" s="45"/>
      <c r="E13" s="45"/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outlineLevel="1">
      <c r="A14" s="39" t="s">
        <v>45</v>
      </c>
      <c r="B14" s="39" t="s">
        <v>22</v>
      </c>
      <c r="C14" s="39"/>
      <c r="D14" s="45"/>
      <c r="E14" s="45"/>
      <c r="F14" s="39" t="s">
        <v>35</v>
      </c>
      <c r="G14" s="39"/>
      <c r="H14" s="39"/>
      <c r="I14" s="39" t="s">
        <v>35</v>
      </c>
      <c r="J14" s="39"/>
      <c r="K14" s="39"/>
      <c r="L14" s="39" t="s">
        <v>35</v>
      </c>
      <c r="M14" s="39"/>
      <c r="N14" s="39"/>
      <c r="O14" s="42"/>
      <c r="Q14" s="43"/>
    </row>
    <row r="15" spans="1:18" s="30" customFormat="1" ht="15.75" customHeight="1">
      <c r="A15" s="79" t="s">
        <v>9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 t="s">
        <v>46</v>
      </c>
      <c r="B16" s="39" t="s">
        <v>23</v>
      </c>
      <c r="C16" s="39"/>
      <c r="D16" s="39"/>
      <c r="E16" s="39"/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5" outlineLevel="1">
      <c r="A17" s="39" t="s">
        <v>47</v>
      </c>
      <c r="B17" s="39" t="s">
        <v>24</v>
      </c>
      <c r="C17" s="39"/>
      <c r="D17" s="39"/>
      <c r="E17" s="39"/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5">
      <c r="A18" s="1">
        <v>6</v>
      </c>
    </row>
  </sheetData>
  <mergeCells count="3">
    <mergeCell ref="B2:E2"/>
    <mergeCell ref="B3:E3"/>
    <mergeCell ref="B4:E4"/>
  </mergeCells>
  <dataValidations count="2">
    <dataValidation allowBlank="1" showErrorMessage="1" sqref="F10 I10 L10" xr:uid="{BA601D90-C760-2A4B-9DCB-05D64CA1BA46}"/>
    <dataValidation type="list" allowBlank="1" showErrorMessage="1" sqref="G2:G3 G9 G18:G145 I12:I17 J2:J3 J9 J18:J145 F12:F17 M2:M3 M9 M18:M145 L12:L17" xr:uid="{CEBB1DD6-5D0C-9A4C-93A4-3065C1A7F369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Feature 1</vt:lpstr>
      <vt:lpstr>Feature 2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Bảo An Nguyễn</cp:lastModifiedBy>
  <cp:lastPrinted>2010-11-12T10:33:20Z</cp:lastPrinted>
  <dcterms:created xsi:type="dcterms:W3CDTF">2020-03-17T17:34:29Z</dcterms:created>
  <dcterms:modified xsi:type="dcterms:W3CDTF">2026-04-23T02:53:11Z</dcterms:modified>
  <cp:category>BM</cp:category>
</cp:coreProperties>
</file>